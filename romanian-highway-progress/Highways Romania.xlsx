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RomanianData Tribe\Leading RomanianDATATribe\March 2026\"/>
    </mc:Choice>
  </mc:AlternateContent>
  <xr:revisionPtr revIDLastSave="0" documentId="13_ncr:1_{701CF9FF-6054-4E0D-A00F-8C8952A159A6}" xr6:coauthVersionLast="47" xr6:coauthVersionMax="47" xr10:uidLastSave="{00000000-0000-0000-0000-000000000000}"/>
  <bookViews>
    <workbookView xWindow="28680" yWindow="-120" windowWidth="30960" windowHeight="15720" xr2:uid="{4CA28938-82D8-437A-844E-7DAD1BB5CA06}"/>
  </bookViews>
  <sheets>
    <sheet name="Yearly Evolution" sheetId="1" r:id="rId1"/>
    <sheet name="Completion Progres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2" l="1"/>
  <c r="F18" i="2"/>
  <c r="F17" i="2"/>
  <c r="F16" i="2"/>
  <c r="F15" i="2"/>
  <c r="F13" i="2"/>
  <c r="F12" i="2"/>
  <c r="F10" i="2"/>
  <c r="F8" i="2"/>
  <c r="F7" i="2"/>
  <c r="F6" i="2"/>
  <c r="F5" i="2"/>
  <c r="F4" i="2"/>
  <c r="F3" i="2"/>
  <c r="F9" i="2"/>
  <c r="F11" i="2"/>
  <c r="F14" i="2"/>
</calcChain>
</file>

<file path=xl/sharedStrings.xml><?xml version="1.0" encoding="utf-8"?>
<sst xmlns="http://schemas.openxmlformats.org/spreadsheetml/2006/main" count="82" uniqueCount="45">
  <si>
    <t>Year</t>
  </si>
  <si>
    <t>Km Opened</t>
  </si>
  <si>
    <t>Source</t>
  </si>
  <si>
    <t>https://www.130km.ro/articol82.html</t>
  </si>
  <si>
    <t>Highway</t>
  </si>
  <si>
    <t>Route</t>
  </si>
  <si>
    <t>Planned (km)</t>
  </si>
  <si>
    <t>Open (km)</t>
  </si>
  <si>
    <t>Under Construction (km)</t>
  </si>
  <si>
    <t>Completion (%)</t>
  </si>
  <si>
    <t>A1</t>
  </si>
  <si>
    <t>A2</t>
  </si>
  <si>
    <t>A3</t>
  </si>
  <si>
    <t>A0</t>
  </si>
  <si>
    <t>Bucharest Ring Road</t>
  </si>
  <si>
    <t>A4</t>
  </si>
  <si>
    <t>A7</t>
  </si>
  <si>
    <t>A8</t>
  </si>
  <si>
    <t>A10</t>
  </si>
  <si>
    <t>DEx4</t>
  </si>
  <si>
    <t>DEx12</t>
  </si>
  <si>
    <t>DEx6</t>
  </si>
  <si>
    <t>https://www.130km.ro/Highways.html</t>
  </si>
  <si>
    <t>A6</t>
  </si>
  <si>
    <t>Targu Mures - Ditrau - Poiana Largului - Targu Neamt - Pascani - Targu Frumos - Iasi - Ungheni</t>
  </si>
  <si>
    <t>A9</t>
  </si>
  <si>
    <t>Timisoara - Moravita</t>
  </si>
  <si>
    <t>A13</t>
  </si>
  <si>
    <t>Sibiu - Fagaras - Brasov - Bacau</t>
  </si>
  <si>
    <t>A14</t>
  </si>
  <si>
    <t>Oar - Satu Mare - Baia Mare - Dej - Bistrita - Vatra Dornei - Suceava</t>
  </si>
  <si>
    <t>DEx5A</t>
  </si>
  <si>
    <t>Bacau - Piatra Neamt</t>
  </si>
  <si>
    <t>Focsani - Braila - Galati</t>
  </si>
  <si>
    <t>DEx16</t>
  </si>
  <si>
    <t>Arad - Oradea</t>
  </si>
  <si>
    <t>Constanta Ring Road</t>
  </si>
  <si>
    <t>Bucharest - Alexandria - Rosiori de Vede - Craiova - Calafat - Drobeta Turnu Severin - Caransebes - Lugoj</t>
  </si>
  <si>
    <t>Craiova - Slatina - Pitesti</t>
  </si>
  <si>
    <t>Bucharest - Pitesti - Sibiu - Deva - Timisoara - Arad - Nadlac</t>
  </si>
  <si>
    <t>Bucharest - Constanta</t>
  </si>
  <si>
    <t>Bucharest - Ploiesti - Brasov - Cluj-Napoca - Bors</t>
  </si>
  <si>
    <t>Ploiesti - Buzau - Focsani - Bacau - Pascani - Suceava - Siret</t>
  </si>
  <si>
    <t>Sebes - Turda</t>
  </si>
  <si>
    <t>Turda - Dej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</si>
</sst>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164" fontId="0" fillId="0" borderId="0" xfId="1" applyNumberFormat="1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3" fillId="0" borderId="0" xfId="2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5F2220D-925D-4447-80FA-EFC49D5D0EF2}">
  <we:reference id="wa200009404" version="1.0.0.8" store="en-US" storeType="OMEX"/>
  <we:alternateReferences>
    <we:reference id="wa200009404" version="1.0.0.8" store="wa200009404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130km.ro/articol82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130km.ro/Highway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F9831-216E-4A8C-A072-E955542559CB}">
  <dimension ref="A1:C22"/>
  <sheetViews>
    <sheetView tabSelected="1" zoomScale="145" zoomScaleNormal="145" workbookViewId="0">
      <selection activeCell="E6" sqref="E6"/>
    </sheetView>
  </sheetViews>
  <sheetFormatPr defaultRowHeight="15" x14ac:dyDescent="0.25"/>
  <cols>
    <col min="2" max="2" width="11.42578125" bestFit="1" customWidth="1"/>
    <col min="3" max="3" width="34.28515625" bestFit="1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s="1" customFormat="1" x14ac:dyDescent="0.25">
      <c r="A2">
        <v>1972</v>
      </c>
      <c r="B2">
        <v>95</v>
      </c>
      <c r="C2" s="5" t="s">
        <v>3</v>
      </c>
    </row>
    <row r="3" spans="1:3" s="1" customFormat="1" x14ac:dyDescent="0.25">
      <c r="A3">
        <v>1987</v>
      </c>
      <c r="B3">
        <v>18</v>
      </c>
      <c r="C3" t="s">
        <v>3</v>
      </c>
    </row>
    <row r="4" spans="1:3" s="1" customFormat="1" x14ac:dyDescent="0.25">
      <c r="A4">
        <v>2004</v>
      </c>
      <c r="B4">
        <v>97</v>
      </c>
      <c r="C4" t="s">
        <v>3</v>
      </c>
    </row>
    <row r="5" spans="1:3" s="1" customFormat="1" x14ac:dyDescent="0.25">
      <c r="A5">
        <v>2007</v>
      </c>
      <c r="B5">
        <v>50</v>
      </c>
      <c r="C5" t="s">
        <v>3</v>
      </c>
    </row>
    <row r="6" spans="1:3" s="1" customFormat="1" x14ac:dyDescent="0.25">
      <c r="A6">
        <v>2009</v>
      </c>
      <c r="B6">
        <v>42</v>
      </c>
      <c r="C6" t="s">
        <v>3</v>
      </c>
    </row>
    <row r="7" spans="1:3" x14ac:dyDescent="0.25">
      <c r="A7">
        <v>2010</v>
      </c>
      <c r="B7">
        <v>28</v>
      </c>
      <c r="C7" t="s">
        <v>3</v>
      </c>
    </row>
    <row r="8" spans="1:3" x14ac:dyDescent="0.25">
      <c r="A8">
        <v>2011</v>
      </c>
      <c r="B8">
        <v>65</v>
      </c>
      <c r="C8" t="s">
        <v>3</v>
      </c>
    </row>
    <row r="9" spans="1:3" x14ac:dyDescent="0.25">
      <c r="A9">
        <v>2012</v>
      </c>
      <c r="B9">
        <v>140</v>
      </c>
      <c r="C9" t="s">
        <v>3</v>
      </c>
    </row>
    <row r="10" spans="1:3" x14ac:dyDescent="0.25">
      <c r="A10">
        <v>2013</v>
      </c>
      <c r="B10">
        <v>97</v>
      </c>
      <c r="C10" t="s">
        <v>3</v>
      </c>
    </row>
    <row r="11" spans="1:3" x14ac:dyDescent="0.25">
      <c r="A11">
        <v>2014</v>
      </c>
      <c r="B11">
        <v>28</v>
      </c>
      <c r="C11" t="s">
        <v>3</v>
      </c>
    </row>
    <row r="12" spans="1:3" x14ac:dyDescent="0.25">
      <c r="A12">
        <v>2015</v>
      </c>
      <c r="B12">
        <v>47</v>
      </c>
      <c r="C12" t="s">
        <v>3</v>
      </c>
    </row>
    <row r="13" spans="1:3" x14ac:dyDescent="0.25">
      <c r="A13">
        <v>2016</v>
      </c>
      <c r="B13">
        <v>22</v>
      </c>
      <c r="C13" t="s">
        <v>3</v>
      </c>
    </row>
    <row r="14" spans="1:3" x14ac:dyDescent="0.25">
      <c r="A14">
        <v>2017</v>
      </c>
      <c r="B14">
        <v>15</v>
      </c>
      <c r="C14" t="s">
        <v>3</v>
      </c>
    </row>
    <row r="15" spans="1:3" x14ac:dyDescent="0.25">
      <c r="A15">
        <v>2018</v>
      </c>
      <c r="B15">
        <v>60</v>
      </c>
      <c r="C15" t="s">
        <v>3</v>
      </c>
    </row>
    <row r="16" spans="1:3" x14ac:dyDescent="0.25">
      <c r="A16">
        <v>2019</v>
      </c>
      <c r="B16">
        <v>43</v>
      </c>
      <c r="C16" t="s">
        <v>3</v>
      </c>
    </row>
    <row r="17" spans="1:3" x14ac:dyDescent="0.25">
      <c r="A17">
        <v>2020</v>
      </c>
      <c r="B17">
        <v>61</v>
      </c>
      <c r="C17" t="s">
        <v>3</v>
      </c>
    </row>
    <row r="18" spans="1:3" x14ac:dyDescent="0.25">
      <c r="A18">
        <v>2021</v>
      </c>
      <c r="B18">
        <v>30</v>
      </c>
      <c r="C18" t="s">
        <v>3</v>
      </c>
    </row>
    <row r="19" spans="1:3" x14ac:dyDescent="0.25">
      <c r="A19">
        <v>2022</v>
      </c>
      <c r="B19">
        <v>53</v>
      </c>
      <c r="C19" t="s">
        <v>3</v>
      </c>
    </row>
    <row r="20" spans="1:3" x14ac:dyDescent="0.25">
      <c r="A20">
        <v>2023</v>
      </c>
      <c r="B20">
        <v>80</v>
      </c>
      <c r="C20" t="s">
        <v>3</v>
      </c>
    </row>
    <row r="21" spans="1:3" x14ac:dyDescent="0.25">
      <c r="A21">
        <v>2024</v>
      </c>
      <c r="B21">
        <v>199</v>
      </c>
      <c r="C21" t="s">
        <v>3</v>
      </c>
    </row>
    <row r="22" spans="1:3" x14ac:dyDescent="0.25">
      <c r="A22">
        <v>2025</v>
      </c>
      <c r="B22">
        <v>146</v>
      </c>
      <c r="C22" t="s">
        <v>3</v>
      </c>
    </row>
  </sheetData>
  <hyperlinks>
    <hyperlink ref="C2" r:id="rId1" xr:uid="{DD76285D-412A-407E-A926-70B18830217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92213-BAE0-45BD-8A47-2C9BD7C271D5}">
  <dimension ref="A1:G18"/>
  <sheetViews>
    <sheetView zoomScale="145" zoomScaleNormal="145" workbookViewId="0">
      <pane ySplit="1" topLeftCell="A2" activePane="bottomLeft" state="frozen"/>
      <selection pane="bottomLeft" activeCell="K6" sqref="K6"/>
    </sheetView>
  </sheetViews>
  <sheetFormatPr defaultRowHeight="15" x14ac:dyDescent="0.25"/>
  <cols>
    <col min="2" max="2" width="51.42578125" customWidth="1"/>
    <col min="5" max="5" width="17.140625" customWidth="1"/>
    <col min="6" max="6" width="14.140625" customWidth="1"/>
    <col min="7" max="7" width="18.140625" customWidth="1"/>
  </cols>
  <sheetData>
    <row r="1" spans="1:7" s="3" customFormat="1" ht="28.5" customHeight="1" x14ac:dyDescent="0.25">
      <c r="A1" s="3" t="s">
        <v>4</v>
      </c>
      <c r="B1" s="3" t="s">
        <v>5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2</v>
      </c>
    </row>
    <row r="2" spans="1:7" x14ac:dyDescent="0.25">
      <c r="A2" t="s">
        <v>13</v>
      </c>
      <c r="B2" t="s">
        <v>14</v>
      </c>
      <c r="C2">
        <v>100.8</v>
      </c>
      <c r="D2">
        <v>72.5</v>
      </c>
      <c r="E2">
        <v>28.2</v>
      </c>
      <c r="F2" s="2">
        <f>D2/C2</f>
        <v>0.71924603174603174</v>
      </c>
      <c r="G2" s="5" t="s">
        <v>22</v>
      </c>
    </row>
    <row r="3" spans="1:7" x14ac:dyDescent="0.25">
      <c r="A3" t="s">
        <v>10</v>
      </c>
      <c r="B3" t="s">
        <v>39</v>
      </c>
      <c r="C3">
        <v>577.98</v>
      </c>
      <c r="D3">
        <v>486.2</v>
      </c>
      <c r="E3">
        <v>92.1</v>
      </c>
      <c r="F3" s="2">
        <f>D3/C3</f>
        <v>0.84120557804768326</v>
      </c>
      <c r="G3" t="s">
        <v>22</v>
      </c>
    </row>
    <row r="4" spans="1:7" x14ac:dyDescent="0.25">
      <c r="A4" t="s">
        <v>11</v>
      </c>
      <c r="B4" t="s">
        <v>40</v>
      </c>
      <c r="C4">
        <v>202.79</v>
      </c>
      <c r="D4">
        <v>202.79</v>
      </c>
      <c r="E4">
        <v>0</v>
      </c>
      <c r="F4" s="2">
        <f>D4/C4</f>
        <v>1</v>
      </c>
      <c r="G4" t="s">
        <v>22</v>
      </c>
    </row>
    <row r="5" spans="1:7" x14ac:dyDescent="0.25">
      <c r="A5" t="s">
        <v>12</v>
      </c>
      <c r="B5" t="s">
        <v>41</v>
      </c>
      <c r="C5">
        <v>439.12</v>
      </c>
      <c r="D5">
        <v>200.7</v>
      </c>
      <c r="E5">
        <v>138.19999999999999</v>
      </c>
      <c r="F5" s="2">
        <f>D5/C5</f>
        <v>0.45705046456549459</v>
      </c>
      <c r="G5" t="s">
        <v>22</v>
      </c>
    </row>
    <row r="6" spans="1:7" x14ac:dyDescent="0.25">
      <c r="A6" t="s">
        <v>15</v>
      </c>
      <c r="B6" t="s">
        <v>36</v>
      </c>
      <c r="C6">
        <v>52</v>
      </c>
      <c r="D6">
        <v>21.8</v>
      </c>
      <c r="E6">
        <v>0</v>
      </c>
      <c r="F6" s="2">
        <f>D6/C6</f>
        <v>0.41923076923076924</v>
      </c>
      <c r="G6" t="s">
        <v>22</v>
      </c>
    </row>
    <row r="7" spans="1:7" ht="30" x14ac:dyDescent="0.25">
      <c r="A7" t="s">
        <v>23</v>
      </c>
      <c r="B7" s="4" t="s">
        <v>37</v>
      </c>
      <c r="C7">
        <v>300</v>
      </c>
      <c r="D7">
        <v>10.5</v>
      </c>
      <c r="E7">
        <v>0</v>
      </c>
      <c r="F7" s="2">
        <f>D7/C7</f>
        <v>3.5000000000000003E-2</v>
      </c>
      <c r="G7" t="s">
        <v>22</v>
      </c>
    </row>
    <row r="8" spans="1:7" x14ac:dyDescent="0.25">
      <c r="A8" t="s">
        <v>16</v>
      </c>
      <c r="B8" t="s">
        <v>42</v>
      </c>
      <c r="C8">
        <v>453</v>
      </c>
      <c r="D8">
        <v>212</v>
      </c>
      <c r="E8">
        <v>123.2</v>
      </c>
      <c r="F8" s="2">
        <f>D8/C8</f>
        <v>0.46799116997792495</v>
      </c>
      <c r="G8" t="s">
        <v>22</v>
      </c>
    </row>
    <row r="9" spans="1:7" ht="30" x14ac:dyDescent="0.25">
      <c r="A9" t="s">
        <v>17</v>
      </c>
      <c r="B9" s="4" t="s">
        <v>24</v>
      </c>
      <c r="C9">
        <v>305</v>
      </c>
      <c r="D9">
        <v>0</v>
      </c>
      <c r="E9">
        <v>216.9</v>
      </c>
      <c r="F9" s="2">
        <f t="shared" ref="F9:F16" si="0">D9/C9</f>
        <v>0</v>
      </c>
      <c r="G9" t="s">
        <v>22</v>
      </c>
    </row>
    <row r="10" spans="1:7" x14ac:dyDescent="0.25">
      <c r="A10" t="s">
        <v>25</v>
      </c>
      <c r="B10" s="4" t="s">
        <v>26</v>
      </c>
      <c r="C10">
        <v>72.930000000000007</v>
      </c>
      <c r="D10">
        <v>0</v>
      </c>
      <c r="E10">
        <v>0</v>
      </c>
      <c r="F10" s="2">
        <f t="shared" si="0"/>
        <v>0</v>
      </c>
      <c r="G10" t="s">
        <v>22</v>
      </c>
    </row>
    <row r="11" spans="1:7" x14ac:dyDescent="0.25">
      <c r="A11" t="s">
        <v>18</v>
      </c>
      <c r="B11" t="s">
        <v>43</v>
      </c>
      <c r="C11">
        <v>70</v>
      </c>
      <c r="D11">
        <v>70</v>
      </c>
      <c r="E11">
        <v>0</v>
      </c>
      <c r="F11" s="2">
        <f t="shared" si="0"/>
        <v>1</v>
      </c>
      <c r="G11" t="s">
        <v>22</v>
      </c>
    </row>
    <row r="12" spans="1:7" x14ac:dyDescent="0.25">
      <c r="A12" t="s">
        <v>27</v>
      </c>
      <c r="B12" s="4" t="s">
        <v>28</v>
      </c>
      <c r="C12">
        <v>300</v>
      </c>
      <c r="D12">
        <v>0</v>
      </c>
      <c r="E12">
        <v>68</v>
      </c>
      <c r="F12" s="2">
        <f>D12/C12</f>
        <v>0</v>
      </c>
      <c r="G12" t="s">
        <v>22</v>
      </c>
    </row>
    <row r="13" spans="1:7" ht="30" x14ac:dyDescent="0.25">
      <c r="A13" t="s">
        <v>29</v>
      </c>
      <c r="B13" s="4" t="s">
        <v>30</v>
      </c>
      <c r="C13">
        <v>335</v>
      </c>
      <c r="D13">
        <v>0</v>
      </c>
      <c r="E13">
        <v>10.8</v>
      </c>
      <c r="F13" s="2">
        <f>D13/C13</f>
        <v>0</v>
      </c>
      <c r="G13" t="s">
        <v>22</v>
      </c>
    </row>
    <row r="14" spans="1:7" x14ac:dyDescent="0.25">
      <c r="A14" t="s">
        <v>19</v>
      </c>
      <c r="B14" t="s">
        <v>44</v>
      </c>
      <c r="C14">
        <v>70</v>
      </c>
      <c r="D14">
        <v>5</v>
      </c>
      <c r="E14">
        <v>0</v>
      </c>
      <c r="F14" s="2">
        <f t="shared" si="0"/>
        <v>7.1428571428571425E-2</v>
      </c>
      <c r="G14" t="s">
        <v>22</v>
      </c>
    </row>
    <row r="15" spans="1:7" x14ac:dyDescent="0.25">
      <c r="A15" t="s">
        <v>31</v>
      </c>
      <c r="B15" s="4" t="s">
        <v>32</v>
      </c>
      <c r="C15">
        <v>51</v>
      </c>
      <c r="D15">
        <v>0</v>
      </c>
      <c r="E15">
        <v>0</v>
      </c>
      <c r="F15" s="2">
        <f t="shared" si="0"/>
        <v>0</v>
      </c>
      <c r="G15" t="s">
        <v>22</v>
      </c>
    </row>
    <row r="16" spans="1:7" x14ac:dyDescent="0.25">
      <c r="A16" t="s">
        <v>21</v>
      </c>
      <c r="B16" s="4" t="s">
        <v>33</v>
      </c>
      <c r="C16">
        <v>85.8</v>
      </c>
      <c r="D16">
        <v>0</v>
      </c>
      <c r="E16">
        <v>85.8</v>
      </c>
      <c r="F16" s="2">
        <f t="shared" si="0"/>
        <v>0</v>
      </c>
      <c r="G16" t="s">
        <v>22</v>
      </c>
    </row>
    <row r="17" spans="1:7" x14ac:dyDescent="0.25">
      <c r="A17" t="s">
        <v>20</v>
      </c>
      <c r="B17" t="s">
        <v>38</v>
      </c>
      <c r="C17">
        <v>121.12</v>
      </c>
      <c r="D17">
        <v>121.12</v>
      </c>
      <c r="E17">
        <v>0</v>
      </c>
      <c r="F17" s="2">
        <f>D17/C17</f>
        <v>1</v>
      </c>
      <c r="G17" t="s">
        <v>22</v>
      </c>
    </row>
    <row r="18" spans="1:7" x14ac:dyDescent="0.25">
      <c r="A18" t="s">
        <v>34</v>
      </c>
      <c r="B18" s="4" t="s">
        <v>35</v>
      </c>
      <c r="C18">
        <v>136.97</v>
      </c>
      <c r="D18">
        <v>15.1</v>
      </c>
      <c r="E18">
        <v>120.5</v>
      </c>
      <c r="F18" s="2">
        <f>D18/C18</f>
        <v>0.11024311893115281</v>
      </c>
      <c r="G18" t="s">
        <v>22</v>
      </c>
    </row>
  </sheetData>
  <hyperlinks>
    <hyperlink ref="G2" r:id="rId1" xr:uid="{CF31749D-1B09-4397-B346-1B8DA27338E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Yearly Evolution</vt:lpstr>
      <vt:lpstr>Completion Progress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Sergiu Rotaru</dc:creator>
  <cp:lastModifiedBy>Sergiu Rotaru</cp:lastModifiedBy>
  <dcterms:created xsi:type="dcterms:W3CDTF">2026-03-01T15:54:53Z</dcterms:created>
  <dcterms:modified xsi:type="dcterms:W3CDTF">2026-03-03T16:35:44Z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9da1dfb1-8d02-48cd-9dc0-3e0931ba65af</vt:lpwstr>
  </property>
</Properties>
</file>